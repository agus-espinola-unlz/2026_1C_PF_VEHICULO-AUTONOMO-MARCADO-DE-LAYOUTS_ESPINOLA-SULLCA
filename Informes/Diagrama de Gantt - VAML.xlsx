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a31f0271d0b8797b/Desktop/Agustin/"/>
    </mc:Choice>
  </mc:AlternateContent>
  <xr:revisionPtr revIDLastSave="451" documentId="8_{A2B61D2F-08BD-40F5-ACC5-C73775A42AA6}" xr6:coauthVersionLast="47" xr6:coauthVersionMax="47" xr10:uidLastSave="{B66BD2AE-74F8-453C-9DB6-F3AD9C86EC24}"/>
  <bookViews>
    <workbookView xWindow="-110" yWindow="-110" windowWidth="19420" windowHeight="11500" xr2:uid="{00000000-000D-0000-FFFF-FFFF00000000}"/>
  </bookViews>
  <sheets>
    <sheet name="Diagrama de Gantt" sheetId="14" r:id="rId1"/>
  </sheets>
  <definedNames>
    <definedName name="Display_Week" localSheetId="0">'Diagrama de Gantt'!$R$2</definedName>
    <definedName name="Display_Week">#REF!</definedName>
    <definedName name="Project_Start" localSheetId="0">'Diagrama de Gantt'!$R$1</definedName>
    <definedName name="Project_Start">#REF!</definedName>
    <definedName name="task_end" localSheetId="0">'Diagrama de Gantt'!$G1</definedName>
    <definedName name="task_progress" localSheetId="0">'Diagrama de Gantt'!$D1</definedName>
    <definedName name="task_start" localSheetId="0">'Diagrama de Gantt'!$E1</definedName>
    <definedName name="_xlnm.Print_Titles" localSheetId="0">'Diagrama de Gantt'!$4:$6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4" l="1"/>
  <c r="R1" i="14"/>
  <c r="G16" i="14"/>
  <c r="G23" i="14"/>
  <c r="G24" i="14"/>
  <c r="G22" i="14"/>
  <c r="I15" i="14"/>
  <c r="G14" i="14"/>
  <c r="G12" i="14"/>
  <c r="G13" i="14"/>
  <c r="G26" i="14"/>
  <c r="G27" i="14"/>
  <c r="G30" i="14"/>
  <c r="G31" i="14"/>
  <c r="G20" i="14"/>
  <c r="G19" i="14"/>
  <c r="G18" i="14"/>
  <c r="I33" i="14"/>
  <c r="I32" i="14"/>
  <c r="I28" i="14"/>
  <c r="I11" i="14"/>
  <c r="I8" i="14"/>
  <c r="I7" i="14"/>
  <c r="J5" i="14" l="1"/>
  <c r="K5" i="14" s="1"/>
  <c r="K6" i="14" s="1"/>
  <c r="J6" i="14" l="1"/>
  <c r="J4" i="14"/>
  <c r="L5" i="14"/>
  <c r="L6" i="14" s="1"/>
  <c r="G9" i="14"/>
  <c r="E10" i="14" s="1"/>
  <c r="G10" i="14" s="1"/>
  <c r="I9" i="14" l="1"/>
  <c r="M5" i="14"/>
  <c r="M6" i="14" s="1"/>
  <c r="I10" i="14"/>
  <c r="N5" i="14" l="1"/>
  <c r="N6" i="14" s="1"/>
  <c r="I13" i="14"/>
  <c r="I29" i="14"/>
  <c r="O5" i="14" l="1"/>
  <c r="O6" i="14" s="1"/>
  <c r="I12" i="14"/>
  <c r="I30" i="14"/>
  <c r="I31" i="14"/>
  <c r="P5" i="14" l="1"/>
  <c r="P6" i="14" s="1"/>
  <c r="Q5" i="14" l="1"/>
  <c r="Q6" i="14" s="1"/>
  <c r="R5" i="14" l="1"/>
  <c r="R6" i="14" s="1"/>
  <c r="Q4" i="14"/>
  <c r="S5" i="14" l="1"/>
  <c r="S6" i="14" s="1"/>
  <c r="T5" i="14" l="1"/>
  <c r="T6" i="14" s="1"/>
  <c r="U5" i="14" l="1"/>
  <c r="V5" i="14" s="1"/>
  <c r="U6" i="14" l="1"/>
  <c r="W5" i="14"/>
  <c r="V6" i="14"/>
  <c r="X5" i="14" l="1"/>
  <c r="W6" i="14"/>
  <c r="Y5" i="14" l="1"/>
  <c r="X4" i="14"/>
  <c r="X6" i="14"/>
  <c r="Z5" i="14" l="1"/>
  <c r="Y6" i="14"/>
  <c r="AA5" i="14" l="1"/>
  <c r="Z6" i="14"/>
  <c r="AB5" i="14" l="1"/>
  <c r="AA6" i="14"/>
  <c r="AB6" i="14" l="1"/>
  <c r="AC5" i="14"/>
  <c r="AC6" i="14" l="1"/>
  <c r="AD5" i="14"/>
  <c r="AE5" i="14" l="1"/>
  <c r="AD6" i="14"/>
  <c r="AE6" i="14" l="1"/>
  <c r="AE4" i="14"/>
  <c r="AF5" i="14"/>
  <c r="AF6" i="14" l="1"/>
  <c r="AG5" i="14"/>
  <c r="AG6" i="14" l="1"/>
  <c r="AH5" i="14"/>
  <c r="AH6" i="14" l="1"/>
  <c r="AI5" i="14"/>
  <c r="AJ5" i="14" l="1"/>
  <c r="AI6" i="14"/>
  <c r="AJ6" i="14" l="1"/>
  <c r="AK5" i="14"/>
  <c r="AK6" i="14" l="1"/>
  <c r="AL5" i="14"/>
  <c r="AM5" i="14" l="1"/>
  <c r="AL6" i="14"/>
  <c r="AL4" i="14"/>
  <c r="AN5" i="14" l="1"/>
  <c r="AM6" i="14"/>
  <c r="AO5" i="14" l="1"/>
  <c r="AN6" i="14"/>
  <c r="AP5" i="14" l="1"/>
  <c r="AO6" i="14"/>
  <c r="AQ5" i="14" l="1"/>
  <c r="AP6" i="14"/>
  <c r="AR5" i="14" l="1"/>
  <c r="AQ6" i="14"/>
  <c r="AS5" i="14" l="1"/>
  <c r="AR6" i="14"/>
  <c r="AS4" i="14" l="1"/>
  <c r="AS6" i="14"/>
  <c r="AT5" i="14"/>
  <c r="AT6" i="14" l="1"/>
  <c r="AU5" i="14"/>
  <c r="AU6" i="14" l="1"/>
  <c r="AV5" i="14"/>
  <c r="AV6" i="14" l="1"/>
  <c r="AW5" i="14"/>
  <c r="AW6" i="14" l="1"/>
  <c r="AX5" i="14"/>
  <c r="AX6" i="14" l="1"/>
  <c r="AY5" i="14"/>
  <c r="AY6" i="14" l="1"/>
  <c r="AZ5" i="14"/>
  <c r="AZ6" i="14" l="1"/>
  <c r="AZ4" i="14"/>
  <c r="BA5" i="14"/>
  <c r="BB5" i="14" l="1"/>
  <c r="BA6" i="14"/>
  <c r="BC5" i="14" l="1"/>
  <c r="BB6" i="14"/>
  <c r="BD5" i="14" l="1"/>
  <c r="BC6" i="14"/>
  <c r="BE5" i="14" l="1"/>
  <c r="BD6" i="14"/>
  <c r="BF5" i="14" l="1"/>
  <c r="BE6" i="14"/>
  <c r="BG5" i="14" l="1"/>
  <c r="BF6" i="14"/>
  <c r="BH5" i="14" l="1"/>
  <c r="BG4" i="14"/>
  <c r="BG6" i="14"/>
  <c r="BH6" i="14" l="1"/>
  <c r="BI5" i="14"/>
  <c r="BI6" i="14" l="1"/>
  <c r="BJ5" i="14"/>
  <c r="BJ6" i="14" l="1"/>
  <c r="BK5" i="14"/>
  <c r="BK6" i="14" l="1"/>
  <c r="BL5" i="14"/>
  <c r="BL6" i="14" l="1"/>
  <c r="BM5" i="14"/>
  <c r="BM6" i="14" s="1"/>
</calcChain>
</file>

<file path=xl/sharedStrings.xml><?xml version="1.0" encoding="utf-8"?>
<sst xmlns="http://schemas.openxmlformats.org/spreadsheetml/2006/main" count="50" uniqueCount="39">
  <si>
    <t>Vehículo Autónomo para marcado de Layout</t>
  </si>
  <si>
    <t>Fecha de inicio:</t>
  </si>
  <si>
    <t>Espinola - Sullca</t>
  </si>
  <si>
    <t>Lideres de proyecto</t>
  </si>
  <si>
    <t>Semana:</t>
  </si>
  <si>
    <t>TAREA</t>
  </si>
  <si>
    <t>RESPONSABLE</t>
  </si>
  <si>
    <t>PROGRESO</t>
  </si>
  <si>
    <t>INICIO</t>
  </si>
  <si>
    <t>DIAS</t>
  </si>
  <si>
    <t>FINAL</t>
  </si>
  <si>
    <t xml:space="preserve">Do not delete this row. This row is hidden to preserve a formula that is used to highlight the current day within the project schedule. </t>
  </si>
  <si>
    <t>Chasis</t>
  </si>
  <si>
    <t>Calculo de torque y selección de motores</t>
  </si>
  <si>
    <t>Agustin</t>
  </si>
  <si>
    <t>Marco</t>
  </si>
  <si>
    <t>Navegación y ubicación</t>
  </si>
  <si>
    <t>Programación de movimiento</t>
  </si>
  <si>
    <t>Interfaz</t>
  </si>
  <si>
    <t>Conexión PC / ESP32 por Bluetooth</t>
  </si>
  <si>
    <t>Convertir CAD a coordenadas</t>
  </si>
  <si>
    <t>Sistema de marcado</t>
  </si>
  <si>
    <t>Programación servo</t>
  </si>
  <si>
    <t>Ensayos</t>
  </si>
  <si>
    <t>Presentación</t>
  </si>
  <si>
    <t>Preparar documentación</t>
  </si>
  <si>
    <t>Preparar presentación</t>
  </si>
  <si>
    <t>Programación Apriltags</t>
  </si>
  <si>
    <t>Pruebas y correciones</t>
  </si>
  <si>
    <t>Presentación final</t>
  </si>
  <si>
    <t>Agustin / Marco</t>
  </si>
  <si>
    <t>Diseño y montaje de chasis</t>
  </si>
  <si>
    <t>1ra Presentación (motores manual, encoders, software preliminar)</t>
  </si>
  <si>
    <t>60% funcionando (movimiento auto, Apriltags, software avanzado)</t>
  </si>
  <si>
    <t xml:space="preserve">Diseño de tanque de tinta </t>
  </si>
  <si>
    <t>Control de calidad</t>
  </si>
  <si>
    <t>Probar boquillas y tintas</t>
  </si>
  <si>
    <t>Implementación de Control PID</t>
  </si>
  <si>
    <t>Control de trayectorias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</si>
</sst>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12"/>
      <color theme="9"/>
      <name val="Arial"/>
      <family val="2"/>
      <scheme val="minor"/>
    </font>
    <font>
      <b/>
      <sz val="9"/>
      <color theme="9"/>
      <name val="Arial"/>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s>
  <borders count="3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theme="3" tint="0.749992370372631"/>
      </bottom>
      <diagonal/>
    </border>
    <border>
      <left/>
      <right/>
      <top style="thin">
        <color theme="6" tint="0.59996337778862885"/>
      </top>
      <bottom style="thin">
        <color theme="3" tint="0.749992370372631"/>
      </bottom>
      <diagonal/>
    </border>
    <border>
      <left/>
      <right/>
      <top style="thin">
        <color theme="3" tint="0.749992370372631"/>
      </top>
      <bottom style="thin">
        <color theme="3" tint="0.749992370372631"/>
      </bottom>
      <diagonal/>
    </border>
    <border>
      <left style="thin">
        <color theme="5" tint="0.59999389629810485"/>
      </left>
      <right/>
      <top style="thin">
        <color theme="5" tint="0.59999389629810485"/>
      </top>
      <bottom style="thin">
        <color theme="5" tint="0.59999389629810485"/>
      </bottom>
      <diagonal/>
    </border>
    <border>
      <left/>
      <right/>
      <top style="thin">
        <color theme="5" tint="0.59999389629810485"/>
      </top>
      <bottom style="thin">
        <color theme="5" tint="0.59999389629810485"/>
      </bottom>
      <diagonal/>
    </border>
    <border>
      <left/>
      <right style="thin">
        <color theme="5" tint="0.59999389629810485"/>
      </right>
      <top style="thin">
        <color theme="5" tint="0.59999389629810485"/>
      </top>
      <bottom style="thin">
        <color theme="5" tint="0.59999389629810485"/>
      </bottom>
      <diagonal/>
    </border>
    <border>
      <left style="thin">
        <color theme="1" tint="0.249977111117893"/>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8" tint="-0.249977111117893"/>
      </left>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bottom style="thin">
        <color theme="8" tint="-0.249977111117893"/>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8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2" borderId="19" xfId="0" applyNumberFormat="1" applyFont="1" applyFill="1" applyBorder="1" applyAlignment="1">
      <alignment horizontal="center" vertical="center"/>
    </xf>
    <xf numFmtId="168" fontId="17" fillId="12" borderId="17"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0" fontId="18" fillId="2" borderId="16" xfId="0" applyFont="1" applyFill="1" applyBorder="1" applyAlignment="1">
      <alignment horizontal="center" vertical="center" shrinkToFit="1"/>
    </xf>
    <xf numFmtId="0" fontId="18" fillId="2" borderId="13"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0"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9" xfId="0" applyFont="1" applyBorder="1" applyAlignment="1">
      <alignment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5" applyFont="1" applyAlignment="1">
      <alignment horizontal="left"/>
    </xf>
    <xf numFmtId="0" fontId="25" fillId="0" borderId="0" xfId="6" applyFont="1" applyAlignment="1">
      <alignment horizontal="left" indent="1"/>
    </xf>
    <xf numFmtId="0" fontId="26" fillId="0" borderId="0" xfId="7" applyFont="1" applyAlignment="1">
      <alignment horizontal="left" indent="1"/>
    </xf>
    <xf numFmtId="14" fontId="15" fillId="3" borderId="6" xfId="10" applyNumberFormat="1" applyFont="1" applyFill="1" applyBorder="1">
      <alignment horizontal="center" vertical="center"/>
    </xf>
    <xf numFmtId="14" fontId="15" fillId="3" borderId="7" xfId="10" applyNumberFormat="1" applyFont="1" applyFill="1" applyBorder="1">
      <alignment horizontal="center" vertical="center"/>
    </xf>
    <xf numFmtId="14" fontId="15" fillId="7" borderId="0" xfId="0" applyNumberFormat="1" applyFont="1" applyFill="1" applyAlignment="1">
      <alignment horizontal="center" vertical="center"/>
    </xf>
    <xf numFmtId="14" fontId="1" fillId="7" borderId="0" xfId="0" applyNumberFormat="1" applyFont="1" applyFill="1" applyAlignment="1">
      <alignment horizontal="center" vertical="center"/>
    </xf>
    <xf numFmtId="14" fontId="15" fillId="4" borderId="5" xfId="10" applyNumberFormat="1" applyFont="1" applyFill="1" applyBorder="1">
      <alignment horizontal="center" vertical="center"/>
    </xf>
    <xf numFmtId="14" fontId="15" fillId="8" borderId="0" xfId="0" applyNumberFormat="1" applyFont="1" applyFill="1" applyAlignment="1">
      <alignment horizontal="center" vertical="center"/>
    </xf>
    <xf numFmtId="14" fontId="1" fillId="8" borderId="0" xfId="0" applyNumberFormat="1" applyFont="1" applyFill="1" applyAlignment="1">
      <alignment horizontal="center" vertical="center"/>
    </xf>
    <xf numFmtId="14" fontId="15" fillId="5" borderId="8" xfId="10" applyNumberFormat="1" applyFont="1" applyFill="1" applyBorder="1">
      <alignment horizontal="center" vertical="center"/>
    </xf>
    <xf numFmtId="14" fontId="15" fillId="9" borderId="0" xfId="0" applyNumberFormat="1" applyFont="1" applyFill="1" applyAlignment="1">
      <alignment horizontal="center" vertical="center"/>
    </xf>
    <xf numFmtId="14" fontId="1" fillId="9" borderId="0" xfId="0" applyNumberFormat="1" applyFont="1" applyFill="1" applyAlignment="1">
      <alignment horizontal="center" vertical="center"/>
    </xf>
    <xf numFmtId="0" fontId="15" fillId="13" borderId="0" xfId="11" applyFont="1" applyFill="1" applyBorder="1" applyAlignment="1">
      <alignment vertical="center"/>
    </xf>
    <xf numFmtId="9" fontId="1" fillId="13" borderId="0" xfId="2" applyFont="1" applyFill="1" applyBorder="1" applyAlignment="1">
      <alignment horizontal="center" vertical="center"/>
    </xf>
    <xf numFmtId="14" fontId="15" fillId="13" borderId="0" xfId="10" applyNumberFormat="1" applyFont="1" applyFill="1" applyBorder="1">
      <alignment horizontal="center" vertical="center"/>
    </xf>
    <xf numFmtId="0" fontId="19" fillId="13" borderId="0" xfId="12" applyFont="1" applyFill="1" applyBorder="1">
      <alignment horizontal="left" vertical="center" indent="2"/>
    </xf>
    <xf numFmtId="0" fontId="15" fillId="3" borderId="6" xfId="10" applyNumberFormat="1" applyFont="1" applyFill="1" applyBorder="1">
      <alignment horizontal="center" vertical="center"/>
    </xf>
    <xf numFmtId="0" fontId="15" fillId="3" borderId="7" xfId="10" applyNumberFormat="1" applyFont="1" applyFill="1" applyBorder="1">
      <alignment horizontal="center" vertical="center"/>
    </xf>
    <xf numFmtId="0" fontId="15" fillId="4" borderId="5" xfId="10" applyNumberFormat="1" applyFont="1" applyFill="1" applyBorder="1">
      <alignment horizontal="center" vertical="center"/>
    </xf>
    <xf numFmtId="0" fontId="15" fillId="5" borderId="8" xfId="10" applyNumberFormat="1" applyFont="1" applyFill="1" applyBorder="1">
      <alignment horizontal="center" vertical="center"/>
    </xf>
    <xf numFmtId="0" fontId="15" fillId="7" borderId="0" xfId="0" applyFont="1" applyFill="1" applyAlignment="1">
      <alignment horizontal="center" vertical="center"/>
    </xf>
    <xf numFmtId="0" fontId="15" fillId="8" borderId="0" xfId="0" applyFont="1" applyFill="1" applyAlignment="1">
      <alignment horizontal="center" vertical="center"/>
    </xf>
    <xf numFmtId="0" fontId="15" fillId="13" borderId="0" xfId="10" applyNumberFormat="1" applyFont="1" applyFill="1" applyBorder="1">
      <alignment horizontal="center" vertical="center"/>
    </xf>
    <xf numFmtId="0" fontId="15" fillId="9" borderId="0" xfId="0" applyFont="1" applyFill="1" applyAlignment="1">
      <alignment horizontal="center" vertical="center"/>
    </xf>
    <xf numFmtId="0" fontId="15" fillId="14" borderId="0" xfId="11" applyFont="1" applyFill="1" applyBorder="1" applyAlignment="1">
      <alignment vertical="center"/>
    </xf>
    <xf numFmtId="9" fontId="1" fillId="14" borderId="0" xfId="2" applyFont="1" applyFill="1" applyBorder="1" applyAlignment="1">
      <alignment horizontal="center" vertical="center"/>
    </xf>
    <xf numFmtId="14" fontId="15" fillId="14" borderId="0" xfId="10" applyNumberFormat="1" applyFont="1" applyFill="1" applyBorder="1">
      <alignment horizontal="center" vertical="center"/>
    </xf>
    <xf numFmtId="0" fontId="15" fillId="14" borderId="0" xfId="10" applyNumberFormat="1" applyFont="1" applyFill="1" applyBorder="1">
      <alignment horizontal="center" vertical="center"/>
    </xf>
    <xf numFmtId="0" fontId="19" fillId="9" borderId="0" xfId="0" applyFont="1" applyFill="1" applyAlignment="1">
      <alignment horizontal="left" vertical="center"/>
    </xf>
    <xf numFmtId="0" fontId="19" fillId="14" borderId="0" xfId="12" applyFont="1" applyFill="1" applyBorder="1" applyAlignment="1">
      <alignment horizontal="left" vertical="center"/>
    </xf>
    <xf numFmtId="0" fontId="15" fillId="4" borderId="0" xfId="11" applyFont="1" applyFill="1" applyBorder="1" applyAlignment="1">
      <alignment vertical="center"/>
    </xf>
    <xf numFmtId="9" fontId="1" fillId="4" borderId="0" xfId="2" applyFont="1" applyFill="1" applyBorder="1" applyAlignment="1">
      <alignment horizontal="center" vertical="center"/>
    </xf>
    <xf numFmtId="14" fontId="15" fillId="4" borderId="0" xfId="10" applyNumberFormat="1" applyFont="1" applyFill="1" applyBorder="1">
      <alignment horizontal="center" vertical="center"/>
    </xf>
    <xf numFmtId="0" fontId="15" fillId="4" borderId="0" xfId="10" applyNumberFormat="1" applyFont="1" applyFill="1" applyBorder="1">
      <alignment horizontal="center" vertical="center"/>
    </xf>
    <xf numFmtId="0" fontId="19" fillId="15" borderId="0" xfId="12" applyFont="1" applyFill="1" applyBorder="1" applyAlignment="1">
      <alignment vertical="center"/>
    </xf>
    <xf numFmtId="0" fontId="15" fillId="15" borderId="0" xfId="11" applyFont="1" applyFill="1" applyBorder="1" applyAlignment="1">
      <alignment vertical="center"/>
    </xf>
    <xf numFmtId="9" fontId="1" fillId="15" borderId="0" xfId="2" applyFont="1" applyFill="1" applyBorder="1" applyAlignment="1">
      <alignment horizontal="center" vertical="center"/>
    </xf>
    <xf numFmtId="14" fontId="15" fillId="15" borderId="0" xfId="10" applyNumberFormat="1" applyFont="1" applyFill="1" applyBorder="1">
      <alignment horizontal="center" vertical="center"/>
    </xf>
    <xf numFmtId="0" fontId="15" fillId="15" borderId="0" xfId="10" applyNumberFormat="1" applyFont="1" applyFill="1" applyBorder="1">
      <alignment horizontal="center" vertical="center"/>
    </xf>
    <xf numFmtId="0" fontId="15" fillId="17" borderId="21" xfId="12" applyFont="1" applyFill="1" applyBorder="1">
      <alignment horizontal="left" vertical="center" indent="2"/>
    </xf>
    <xf numFmtId="9" fontId="1" fillId="17" borderId="22" xfId="2" applyFont="1" applyFill="1" applyBorder="1" applyAlignment="1">
      <alignment horizontal="center" vertical="center"/>
    </xf>
    <xf numFmtId="14" fontId="15" fillId="17" borderId="22" xfId="10" applyNumberFormat="1" applyFont="1" applyFill="1" applyBorder="1">
      <alignment horizontal="center" vertical="center"/>
    </xf>
    <xf numFmtId="0" fontId="15" fillId="17" borderId="22" xfId="10" applyNumberFormat="1" applyFont="1" applyFill="1" applyBorder="1">
      <alignment horizontal="center" vertical="center"/>
    </xf>
    <xf numFmtId="0" fontId="15" fillId="17" borderId="23" xfId="12" applyFont="1" applyFill="1" applyBorder="1">
      <alignment horizontal="left" vertical="center" indent="2"/>
    </xf>
    <xf numFmtId="9" fontId="1" fillId="17" borderId="23" xfId="2" applyFont="1" applyFill="1" applyBorder="1" applyAlignment="1">
      <alignment horizontal="center" vertical="center"/>
    </xf>
    <xf numFmtId="14" fontId="15" fillId="17" borderId="23" xfId="10" applyNumberFormat="1" applyFont="1" applyFill="1" applyBorder="1">
      <alignment horizontal="center" vertical="center"/>
    </xf>
    <xf numFmtId="0" fontId="15" fillId="17" borderId="23" xfId="10" applyNumberFormat="1" applyFont="1" applyFill="1" applyBorder="1">
      <alignment horizontal="center" vertical="center"/>
    </xf>
    <xf numFmtId="0" fontId="15" fillId="4" borderId="24" xfId="12" applyFont="1" applyFill="1" applyBorder="1">
      <alignment horizontal="left" vertical="center" indent="2"/>
    </xf>
    <xf numFmtId="0" fontId="15" fillId="4" borderId="25" xfId="11" applyFont="1" applyFill="1" applyBorder="1" applyAlignment="1">
      <alignment vertical="center"/>
    </xf>
    <xf numFmtId="9" fontId="1" fillId="4" borderId="25" xfId="2" applyFont="1" applyFill="1" applyBorder="1" applyAlignment="1">
      <alignment horizontal="center" vertical="center"/>
    </xf>
    <xf numFmtId="14" fontId="15" fillId="4" borderId="25" xfId="10" applyNumberFormat="1" applyFont="1" applyFill="1" applyBorder="1">
      <alignment horizontal="center" vertical="center"/>
    </xf>
    <xf numFmtId="0" fontId="15" fillId="4" borderId="25" xfId="10" applyNumberFormat="1" applyFont="1" applyFill="1" applyBorder="1">
      <alignment horizontal="center" vertical="center"/>
    </xf>
    <xf numFmtId="14" fontId="15" fillId="4" borderId="26" xfId="10" applyNumberFormat="1" applyFont="1" applyFill="1" applyBorder="1">
      <alignment horizontal="center" vertical="center"/>
    </xf>
    <xf numFmtId="0" fontId="15" fillId="16" borderId="27" xfId="12" applyFont="1" applyFill="1" applyBorder="1">
      <alignment horizontal="left" vertical="center" indent="2"/>
    </xf>
    <xf numFmtId="0" fontId="15" fillId="16" borderId="28" xfId="11" applyFont="1" applyFill="1" applyBorder="1" applyAlignment="1">
      <alignment vertical="center"/>
    </xf>
    <xf numFmtId="9" fontId="1" fillId="16" borderId="28" xfId="2" applyFont="1" applyFill="1" applyBorder="1" applyAlignment="1">
      <alignment horizontal="center" vertical="center"/>
    </xf>
    <xf numFmtId="14" fontId="15" fillId="16" borderId="28" xfId="10" applyNumberFormat="1" applyFont="1" applyFill="1" applyBorder="1">
      <alignment horizontal="center" vertical="center"/>
    </xf>
    <xf numFmtId="0" fontId="15" fillId="16" borderId="28" xfId="10" applyNumberFormat="1" applyFont="1" applyFill="1" applyBorder="1">
      <alignment horizontal="center" vertical="center"/>
    </xf>
    <xf numFmtId="14" fontId="15" fillId="16" borderId="29" xfId="10" applyNumberFormat="1" applyFont="1" applyFill="1" applyBorder="1">
      <alignment horizontal="center" vertical="center"/>
    </xf>
    <xf numFmtId="0" fontId="15" fillId="10" borderId="30" xfId="12" applyFont="1" applyFill="1" applyBorder="1">
      <alignment horizontal="left" vertical="center" indent="2"/>
    </xf>
    <xf numFmtId="0" fontId="15" fillId="10" borderId="31" xfId="11" applyFont="1" applyFill="1" applyBorder="1" applyAlignment="1">
      <alignment vertical="center"/>
    </xf>
    <xf numFmtId="9" fontId="1" fillId="10" borderId="31" xfId="2" applyFont="1" applyFill="1" applyBorder="1" applyAlignment="1">
      <alignment horizontal="center" vertical="center"/>
    </xf>
    <xf numFmtId="14" fontId="15" fillId="10" borderId="31" xfId="10" applyNumberFormat="1" applyFont="1" applyFill="1" applyBorder="1">
      <alignment horizontal="center" vertical="center"/>
    </xf>
    <xf numFmtId="0" fontId="15" fillId="10" borderId="31" xfId="10" applyNumberFormat="1" applyFont="1" applyFill="1" applyBorder="1">
      <alignment horizontal="center" vertical="center"/>
    </xf>
    <xf numFmtId="14" fontId="15" fillId="10" borderId="32" xfId="10" applyNumberFormat="1" applyFont="1" applyFill="1" applyBorder="1">
      <alignment horizontal="center" vertical="center"/>
    </xf>
    <xf numFmtId="0" fontId="15" fillId="10" borderId="33" xfId="10" applyNumberFormat="1" applyFont="1" applyFill="1" applyBorder="1">
      <alignment horizontal="center" vertical="center"/>
    </xf>
    <xf numFmtId="0" fontId="15" fillId="10" borderId="34" xfId="12" applyFont="1" applyFill="1" applyBorder="1">
      <alignment horizontal="left" vertical="center" indent="2"/>
    </xf>
    <xf numFmtId="0" fontId="15" fillId="10" borderId="33" xfId="11" applyFont="1" applyFill="1" applyBorder="1" applyAlignment="1">
      <alignment vertical="center"/>
    </xf>
    <xf numFmtId="9" fontId="1" fillId="10" borderId="33" xfId="2" applyFont="1" applyFill="1" applyBorder="1" applyAlignment="1">
      <alignment horizontal="center" vertical="center"/>
    </xf>
    <xf numFmtId="14" fontId="15" fillId="10" borderId="33" xfId="10" applyNumberFormat="1" applyFont="1" applyFill="1" applyBorder="1">
      <alignment horizontal="center" vertical="center"/>
    </xf>
    <xf numFmtId="14" fontId="15" fillId="10" borderId="35" xfId="10" applyNumberFormat="1" applyFont="1" applyFill="1" applyBorder="1">
      <alignment horizontal="center" vertical="center"/>
    </xf>
    <xf numFmtId="0" fontId="15" fillId="3" borderId="7" xfId="12" applyFont="1" applyFill="1" applyBorder="1" applyAlignment="1">
      <alignment horizontal="left" vertical="top" wrapText="1"/>
    </xf>
    <xf numFmtId="0" fontId="15" fillId="4" borderId="5" xfId="12" applyFont="1" applyFill="1" applyBorder="1" applyAlignment="1">
      <alignment horizontal="left" vertical="center"/>
    </xf>
    <xf numFmtId="0" fontId="9" fillId="0" borderId="0" xfId="3" applyAlignment="1">
      <alignment wrapText="1"/>
    </xf>
    <xf numFmtId="0" fontId="15" fillId="18" borderId="23" xfId="11" applyFont="1" applyFill="1" applyBorder="1">
      <alignment horizontal="center" vertical="center"/>
    </xf>
    <xf numFmtId="9" fontId="1" fillId="18" borderId="23" xfId="2" applyFont="1" applyFill="1" applyBorder="1" applyAlignment="1">
      <alignment horizontal="center" vertical="center"/>
    </xf>
    <xf numFmtId="14" fontId="15" fillId="18" borderId="23" xfId="10" applyNumberFormat="1" applyFont="1" applyFill="1" applyBorder="1">
      <alignment horizontal="center" vertical="center"/>
    </xf>
    <xf numFmtId="0" fontId="15" fillId="18" borderId="23" xfId="10" applyNumberFormat="1" applyFont="1" applyFill="1" applyBorder="1">
      <alignment horizontal="center" vertical="center"/>
    </xf>
    <xf numFmtId="14" fontId="15" fillId="18" borderId="22" xfId="10" applyNumberFormat="1" applyFont="1" applyFill="1" applyBorder="1">
      <alignment horizontal="center" vertical="center"/>
    </xf>
    <xf numFmtId="0" fontId="15" fillId="18" borderId="30" xfId="12" applyFont="1" applyFill="1" applyBorder="1">
      <alignment horizontal="left" vertical="center" indent="2"/>
    </xf>
    <xf numFmtId="0" fontId="15" fillId="18" borderId="31" xfId="11" applyFont="1" applyFill="1" applyBorder="1" applyAlignment="1">
      <alignment vertical="center"/>
    </xf>
    <xf numFmtId="9" fontId="1" fillId="18" borderId="31" xfId="2" applyFont="1" applyFill="1" applyBorder="1" applyAlignment="1">
      <alignment horizontal="center" vertical="center"/>
    </xf>
    <xf numFmtId="14" fontId="15" fillId="18" borderId="31" xfId="10" applyNumberFormat="1" applyFont="1" applyFill="1" applyBorder="1">
      <alignment horizontal="center" vertical="center"/>
    </xf>
    <xf numFmtId="0" fontId="15" fillId="18" borderId="31" xfId="10" applyNumberFormat="1" applyFont="1" applyFill="1" applyBorder="1">
      <alignment horizontal="center" vertical="center"/>
    </xf>
    <xf numFmtId="14" fontId="15" fillId="18" borderId="32" xfId="10" applyNumberFormat="1" applyFont="1" applyFill="1" applyBorder="1">
      <alignment horizontal="center" vertical="center"/>
    </xf>
    <xf numFmtId="0" fontId="15" fillId="17" borderId="21" xfId="11" applyFont="1" applyFill="1" applyBorder="1" applyAlignment="1">
      <alignment horizontal="left" vertical="center"/>
    </xf>
    <xf numFmtId="0" fontId="15" fillId="17" borderId="23" xfId="11" applyFont="1" applyFill="1" applyBorder="1" applyAlignment="1">
      <alignment horizontal="left" vertical="center"/>
    </xf>
    <xf numFmtId="0" fontId="15" fillId="3" borderId="7" xfId="12" applyFont="1" applyFill="1" applyBorder="1" applyAlignment="1">
      <alignment horizontal="left" vertical="center"/>
    </xf>
    <xf numFmtId="0" fontId="15" fillId="18" borderId="23" xfId="12" applyFont="1" applyFill="1" applyBorder="1" applyAlignment="1">
      <alignment horizontal="left" vertical="center" wrapText="1" indent="2"/>
    </xf>
    <xf numFmtId="0" fontId="15" fillId="18" borderId="30" xfId="12" applyFont="1" applyFill="1" applyBorder="1" applyAlignment="1">
      <alignment horizontal="left" vertical="center" wrapText="1" indent="2"/>
    </xf>
    <xf numFmtId="0" fontId="15" fillId="4" borderId="0" xfId="12" applyFont="1" applyFill="1" applyBorder="1" applyAlignment="1">
      <alignment horizontal="left" vertical="center"/>
    </xf>
    <xf numFmtId="0" fontId="4" fillId="0" borderId="10" xfId="0" applyFont="1" applyBorder="1" applyAlignment="1">
      <alignment horizontal="right" vertical="center"/>
    </xf>
    <xf numFmtId="0" fontId="4" fillId="19" borderId="9" xfId="0" applyFont="1" applyFill="1" applyBorder="1" applyAlignment="1">
      <alignment vertical="center"/>
    </xf>
    <xf numFmtId="167" fontId="15" fillId="2" borderId="12"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9" fillId="0" borderId="0" xfId="3" applyAlignment="1">
      <alignment wrapText="1"/>
    </xf>
    <xf numFmtId="0" fontId="16"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6" fillId="11" borderId="15" xfId="0" applyFont="1" applyFill="1" applyBorder="1" applyAlignment="1">
      <alignment vertical="center"/>
    </xf>
    <xf numFmtId="0" fontId="4" fillId="2" borderId="20" xfId="0" applyFont="1" applyFill="1" applyBorder="1"/>
    <xf numFmtId="0" fontId="16" fillId="11" borderId="15" xfId="0" applyFont="1" applyFill="1" applyBorder="1" applyAlignment="1">
      <alignment horizontal="center" vertical="center"/>
    </xf>
    <xf numFmtId="0" fontId="16" fillId="11" borderId="20" xfId="0" applyFont="1" applyFill="1" applyBorder="1" applyAlignment="1">
      <alignment horizontal="center" vertical="center"/>
    </xf>
    <xf numFmtId="0" fontId="22" fillId="0" borderId="0" xfId="8" applyFont="1" applyAlignment="1">
      <alignment horizontal="left"/>
    </xf>
    <xf numFmtId="0" fontId="4" fillId="0" borderId="0" xfId="0" applyFont="1"/>
    <xf numFmtId="14" fontId="23" fillId="0" borderId="0" xfId="9" applyNumberFormat="1" applyFont="1" applyBorder="1" applyAlignment="1">
      <alignment horizontal="left"/>
    </xf>
    <xf numFmtId="14" fontId="24" fillId="0" borderId="0" xfId="0" applyNumberFormat="1" applyFont="1"/>
    <xf numFmtId="0" fontId="23" fillId="0" borderId="0" xfId="0" applyFont="1" applyAlignment="1">
      <alignment horizontal="left"/>
    </xf>
    <xf numFmtId="0" fontId="24" fillId="0" borderId="0" xfId="0" applyFont="1"/>
    <xf numFmtId="167" fontId="15" fillId="2" borderId="17" xfId="0" applyNumberFormat="1" applyFont="1" applyFill="1" applyBorder="1" applyAlignment="1">
      <alignment horizontal="center" vertical="center" wrapText="1"/>
    </xf>
  </cellXfs>
  <cellStyles count="13">
    <cellStyle name="Date" xfId="10" xr:uid="{229918B6-DD13-4F5A-97B9-305F7E002AA3}"/>
    <cellStyle name="Encabezado 1" xfId="6" builtinId="16" customBuiltin="1"/>
    <cellStyle name="Hipervínculo" xfId="1" builtinId="8" customBuiltin="1"/>
    <cellStyle name="Millares" xfId="4" builtinId="3" customBuiltin="1"/>
    <cellStyle name="Name" xfId="11" xr:uid="{B2D3C1EE-6B41-4801-AAFC-C2274E49E503}"/>
    <cellStyle name="Normal" xfId="0" builtinId="0"/>
    <cellStyle name="Porcentaje" xfId="2" builtinId="5"/>
    <cellStyle name="Project Start" xfId="9" xr:uid="{8EB8A09A-C31C-40A3-B2C1-9449520178B8}"/>
    <cellStyle name="Task" xfId="12" xr:uid="{6391D789-272B-4DD2-9BF3-2CDCF610FA41}"/>
    <cellStyle name="Título" xfId="5" builtinId="15" customBuiltin="1"/>
    <cellStyle name="Título 2" xfId="7" builtinId="17" customBuiltin="1"/>
    <cellStyle name="Título 3" xfId="8" builtinId="18"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C43A-364A-4B81-87AF-D7BC5A706127}">
  <sheetPr>
    <pageSetUpPr fitToPage="1"/>
  </sheetPr>
  <dimension ref="A1:BM36"/>
  <sheetViews>
    <sheetView showGridLines="0" tabSelected="1" showRuler="0" zoomScale="70" zoomScaleNormal="70" zoomScalePageLayoutView="70" workbookViewId="0">
      <selection activeCell="AE20" sqref="AE20"/>
    </sheetView>
  </sheetViews>
  <sheetFormatPr baseColWidth="10" defaultColWidth="8.58203125" defaultRowHeight="30" customHeight="1" x14ac:dyDescent="0.3"/>
  <cols>
    <col min="1" max="1" width="2.58203125" style="7" customWidth="1"/>
    <col min="2" max="2" width="30.83203125" customWidth="1"/>
    <col min="3" max="3" width="16.58203125" customWidth="1"/>
    <col min="4" max="4" width="10.58203125" customWidth="1"/>
    <col min="5" max="6" width="10.58203125" style="2" customWidth="1"/>
    <col min="7" max="7" width="10.58203125" customWidth="1"/>
    <col min="8" max="8" width="2.58203125" customWidth="1"/>
    <col min="9" max="9" width="6" hidden="1" customWidth="1"/>
    <col min="10" max="15" width="2.58203125" customWidth="1"/>
    <col min="16" max="16" width="7.33203125" customWidth="1"/>
    <col min="17" max="66" width="2.58203125" customWidth="1"/>
  </cols>
  <sheetData>
    <row r="1" spans="1:65" ht="90" customHeight="1" x14ac:dyDescent="0.7">
      <c r="A1" s="145"/>
      <c r="B1" s="71" t="s">
        <v>0</v>
      </c>
      <c r="C1" s="11"/>
      <c r="D1" s="12"/>
      <c r="E1" s="13"/>
      <c r="F1" s="13"/>
      <c r="G1" s="14"/>
      <c r="I1" s="1"/>
      <c r="J1" s="174" t="s">
        <v>1</v>
      </c>
      <c r="K1" s="175"/>
      <c r="L1" s="175"/>
      <c r="M1" s="175"/>
      <c r="N1" s="175"/>
      <c r="O1" s="175"/>
      <c r="P1" s="175"/>
      <c r="Q1" s="17"/>
      <c r="R1" s="176">
        <f ca="1">TODAY()</f>
        <v>46121</v>
      </c>
      <c r="S1" s="177"/>
      <c r="T1" s="177"/>
      <c r="U1" s="177"/>
      <c r="V1" s="177"/>
      <c r="W1" s="177"/>
      <c r="X1" s="177"/>
      <c r="Y1" s="177"/>
      <c r="Z1" s="177"/>
      <c r="AA1" s="177"/>
    </row>
    <row r="2" spans="1:65" ht="30" customHeight="1" x14ac:dyDescent="0.7">
      <c r="B2" s="72" t="s">
        <v>2</v>
      </c>
      <c r="C2" s="73" t="s">
        <v>3</v>
      </c>
      <c r="D2" s="15"/>
      <c r="E2" s="16"/>
      <c r="F2" s="16"/>
      <c r="G2" s="15"/>
      <c r="J2" s="174" t="s">
        <v>4</v>
      </c>
      <c r="K2" s="175"/>
      <c r="L2" s="175"/>
      <c r="M2" s="175"/>
      <c r="N2" s="175"/>
      <c r="O2" s="175"/>
      <c r="P2" s="175"/>
      <c r="Q2" s="17"/>
      <c r="R2" s="178">
        <v>1</v>
      </c>
      <c r="S2" s="179"/>
      <c r="T2" s="179"/>
      <c r="U2" s="179"/>
      <c r="V2" s="179"/>
      <c r="W2" s="179"/>
      <c r="X2" s="179"/>
      <c r="Y2" s="179"/>
      <c r="Z2" s="179"/>
      <c r="AA2" s="179"/>
    </row>
    <row r="3" spans="1:65" s="19" customFormat="1" ht="30" customHeight="1" x14ac:dyDescent="0.3">
      <c r="A3" s="7"/>
      <c r="B3" s="18"/>
      <c r="D3" s="20"/>
      <c r="E3" s="21"/>
      <c r="F3" s="21"/>
    </row>
    <row r="4" spans="1:65" s="19" customFormat="1" ht="30" customHeight="1" x14ac:dyDescent="0.3">
      <c r="A4" s="145"/>
      <c r="B4" s="22"/>
      <c r="E4" s="23"/>
      <c r="F4" s="23"/>
      <c r="J4" s="180">
        <f ca="1">J5</f>
        <v>46118</v>
      </c>
      <c r="K4" s="165"/>
      <c r="L4" s="165"/>
      <c r="M4" s="165"/>
      <c r="N4" s="165"/>
      <c r="O4" s="165"/>
      <c r="P4" s="165"/>
      <c r="Q4" s="165">
        <f ca="1">Q5</f>
        <v>46125</v>
      </c>
      <c r="R4" s="165"/>
      <c r="S4" s="165"/>
      <c r="T4" s="165"/>
      <c r="U4" s="165"/>
      <c r="V4" s="165"/>
      <c r="W4" s="165"/>
      <c r="X4" s="165">
        <f ca="1">X5</f>
        <v>46132</v>
      </c>
      <c r="Y4" s="165"/>
      <c r="Z4" s="165"/>
      <c r="AA4" s="165"/>
      <c r="AB4" s="165"/>
      <c r="AC4" s="165"/>
      <c r="AD4" s="165"/>
      <c r="AE4" s="165">
        <f ca="1">AE5</f>
        <v>46139</v>
      </c>
      <c r="AF4" s="165"/>
      <c r="AG4" s="165"/>
      <c r="AH4" s="165"/>
      <c r="AI4" s="165"/>
      <c r="AJ4" s="165"/>
      <c r="AK4" s="165"/>
      <c r="AL4" s="165">
        <f ca="1">AL5</f>
        <v>46146</v>
      </c>
      <c r="AM4" s="165"/>
      <c r="AN4" s="165"/>
      <c r="AO4" s="165"/>
      <c r="AP4" s="165"/>
      <c r="AQ4" s="165"/>
      <c r="AR4" s="165"/>
      <c r="AS4" s="165">
        <f ca="1">AS5</f>
        <v>46153</v>
      </c>
      <c r="AT4" s="165"/>
      <c r="AU4" s="165"/>
      <c r="AV4" s="165"/>
      <c r="AW4" s="165"/>
      <c r="AX4" s="165"/>
      <c r="AY4" s="165"/>
      <c r="AZ4" s="165">
        <f ca="1">AZ5</f>
        <v>46160</v>
      </c>
      <c r="BA4" s="165"/>
      <c r="BB4" s="165"/>
      <c r="BC4" s="165"/>
      <c r="BD4" s="165"/>
      <c r="BE4" s="165"/>
      <c r="BF4" s="165"/>
      <c r="BG4" s="165">
        <f ca="1">BG5</f>
        <v>46167</v>
      </c>
      <c r="BH4" s="165"/>
      <c r="BI4" s="165"/>
      <c r="BJ4" s="165"/>
      <c r="BK4" s="165"/>
      <c r="BL4" s="165"/>
      <c r="BM4" s="166"/>
    </row>
    <row r="5" spans="1:65" s="19" customFormat="1" ht="15" customHeight="1" x14ac:dyDescent="0.3">
      <c r="A5" s="167"/>
      <c r="B5" s="168" t="s">
        <v>5</v>
      </c>
      <c r="C5" s="170" t="s">
        <v>6</v>
      </c>
      <c r="D5" s="172" t="s">
        <v>7</v>
      </c>
      <c r="E5" s="172" t="s">
        <v>8</v>
      </c>
      <c r="F5" s="172" t="s">
        <v>9</v>
      </c>
      <c r="G5" s="172" t="s">
        <v>10</v>
      </c>
      <c r="J5" s="24">
        <f ca="1">Project_Start-WEEKDAY(Project_Start,1)+2+7*(Display_Week-1)</f>
        <v>46118</v>
      </c>
      <c r="K5" s="24">
        <f ca="1">J5+1</f>
        <v>46119</v>
      </c>
      <c r="L5" s="24">
        <f t="shared" ref="L5:AY5" ca="1" si="0">K5+1</f>
        <v>46120</v>
      </c>
      <c r="M5" s="24">
        <f t="shared" ca="1" si="0"/>
        <v>46121</v>
      </c>
      <c r="N5" s="24">
        <f t="shared" ca="1" si="0"/>
        <v>46122</v>
      </c>
      <c r="O5" s="24">
        <f t="shared" ca="1" si="0"/>
        <v>46123</v>
      </c>
      <c r="P5" s="25">
        <f t="shared" ca="1" si="0"/>
        <v>46124</v>
      </c>
      <c r="Q5" s="26">
        <f ca="1">P5+1</f>
        <v>46125</v>
      </c>
      <c r="R5" s="24">
        <f ca="1">Q5+1</f>
        <v>46126</v>
      </c>
      <c r="S5" s="24">
        <f t="shared" ca="1" si="0"/>
        <v>46127</v>
      </c>
      <c r="T5" s="24">
        <f t="shared" ca="1" si="0"/>
        <v>46128</v>
      </c>
      <c r="U5" s="24">
        <f t="shared" ca="1" si="0"/>
        <v>46129</v>
      </c>
      <c r="V5" s="24">
        <f t="shared" ca="1" si="0"/>
        <v>46130</v>
      </c>
      <c r="W5" s="25">
        <f t="shared" ca="1" si="0"/>
        <v>46131</v>
      </c>
      <c r="X5" s="26">
        <f ca="1">W5+1</f>
        <v>46132</v>
      </c>
      <c r="Y5" s="24">
        <f ca="1">X5+1</f>
        <v>46133</v>
      </c>
      <c r="Z5" s="24">
        <f t="shared" ca="1" si="0"/>
        <v>46134</v>
      </c>
      <c r="AA5" s="24">
        <f t="shared" ca="1" si="0"/>
        <v>46135</v>
      </c>
      <c r="AB5" s="24">
        <f t="shared" ca="1" si="0"/>
        <v>46136</v>
      </c>
      <c r="AC5" s="24">
        <f t="shared" ca="1" si="0"/>
        <v>46137</v>
      </c>
      <c r="AD5" s="25">
        <f t="shared" ca="1" si="0"/>
        <v>46138</v>
      </c>
      <c r="AE5" s="26">
        <f ca="1">AD5+1</f>
        <v>46139</v>
      </c>
      <c r="AF5" s="24">
        <f ca="1">AE5+1</f>
        <v>46140</v>
      </c>
      <c r="AG5" s="24">
        <f t="shared" ca="1" si="0"/>
        <v>46141</v>
      </c>
      <c r="AH5" s="24">
        <f t="shared" ca="1" si="0"/>
        <v>46142</v>
      </c>
      <c r="AI5" s="24">
        <f t="shared" ca="1" si="0"/>
        <v>46143</v>
      </c>
      <c r="AJ5" s="24">
        <f t="shared" ca="1" si="0"/>
        <v>46144</v>
      </c>
      <c r="AK5" s="25">
        <f t="shared" ca="1" si="0"/>
        <v>46145</v>
      </c>
      <c r="AL5" s="26">
        <f ca="1">AK5+1</f>
        <v>46146</v>
      </c>
      <c r="AM5" s="24">
        <f ca="1">AL5+1</f>
        <v>46147</v>
      </c>
      <c r="AN5" s="24">
        <f t="shared" ca="1" si="0"/>
        <v>46148</v>
      </c>
      <c r="AO5" s="24">
        <f t="shared" ca="1" si="0"/>
        <v>46149</v>
      </c>
      <c r="AP5" s="24">
        <f t="shared" ca="1" si="0"/>
        <v>46150</v>
      </c>
      <c r="AQ5" s="24">
        <f t="shared" ca="1" si="0"/>
        <v>46151</v>
      </c>
      <c r="AR5" s="25">
        <f t="shared" ca="1" si="0"/>
        <v>46152</v>
      </c>
      <c r="AS5" s="26">
        <f ca="1">AR5+1</f>
        <v>46153</v>
      </c>
      <c r="AT5" s="24">
        <f ca="1">AS5+1</f>
        <v>46154</v>
      </c>
      <c r="AU5" s="24">
        <f t="shared" ca="1" si="0"/>
        <v>46155</v>
      </c>
      <c r="AV5" s="24">
        <f t="shared" ca="1" si="0"/>
        <v>46156</v>
      </c>
      <c r="AW5" s="24">
        <f t="shared" ca="1" si="0"/>
        <v>46157</v>
      </c>
      <c r="AX5" s="24">
        <f t="shared" ca="1" si="0"/>
        <v>46158</v>
      </c>
      <c r="AY5" s="25">
        <f t="shared" ca="1" si="0"/>
        <v>46159</v>
      </c>
      <c r="AZ5" s="26">
        <f ca="1">AY5+1</f>
        <v>46160</v>
      </c>
      <c r="BA5" s="24">
        <f ca="1">AZ5+1</f>
        <v>46161</v>
      </c>
      <c r="BB5" s="24">
        <f t="shared" ref="BB5:BF5" ca="1" si="1">BA5+1</f>
        <v>46162</v>
      </c>
      <c r="BC5" s="24">
        <f t="shared" ca="1" si="1"/>
        <v>46163</v>
      </c>
      <c r="BD5" s="24">
        <f t="shared" ca="1" si="1"/>
        <v>46164</v>
      </c>
      <c r="BE5" s="24">
        <f t="shared" ca="1" si="1"/>
        <v>46165</v>
      </c>
      <c r="BF5" s="25">
        <f t="shared" ca="1" si="1"/>
        <v>46166</v>
      </c>
      <c r="BG5" s="26">
        <f ca="1">BF5+1</f>
        <v>46167</v>
      </c>
      <c r="BH5" s="24">
        <f ca="1">BG5+1</f>
        <v>46168</v>
      </c>
      <c r="BI5" s="24">
        <f t="shared" ref="BI5:BM5" ca="1" si="2">BH5+1</f>
        <v>46169</v>
      </c>
      <c r="BJ5" s="24">
        <f t="shared" ca="1" si="2"/>
        <v>46170</v>
      </c>
      <c r="BK5" s="24">
        <f t="shared" ca="1" si="2"/>
        <v>46171</v>
      </c>
      <c r="BL5" s="24">
        <f t="shared" ca="1" si="2"/>
        <v>46172</v>
      </c>
      <c r="BM5" s="24">
        <f t="shared" ca="1" si="2"/>
        <v>46173</v>
      </c>
    </row>
    <row r="6" spans="1:65" s="19" customFormat="1" ht="15" customHeight="1" thickBot="1" x14ac:dyDescent="0.35">
      <c r="A6" s="167"/>
      <c r="B6" s="169"/>
      <c r="C6" s="171"/>
      <c r="D6" s="171"/>
      <c r="E6" s="171"/>
      <c r="F6" s="173"/>
      <c r="G6" s="171"/>
      <c r="J6" s="27" t="str">
        <f t="shared" ref="J6:BM6" ca="1" si="3">LEFT(TEXT(J5,"ddd"),1)</f>
        <v>l</v>
      </c>
      <c r="K6" s="28" t="str">
        <f t="shared" ca="1" si="3"/>
        <v>m</v>
      </c>
      <c r="L6" s="28" t="str">
        <f t="shared" ca="1" si="3"/>
        <v>m</v>
      </c>
      <c r="M6" s="28" t="str">
        <f t="shared" ca="1" si="3"/>
        <v>j</v>
      </c>
      <c r="N6" s="28" t="str">
        <f t="shared" ca="1" si="3"/>
        <v>v</v>
      </c>
      <c r="O6" s="28" t="str">
        <f t="shared" ca="1" si="3"/>
        <v>s</v>
      </c>
      <c r="P6" s="28" t="str">
        <f t="shared" ca="1" si="3"/>
        <v>d</v>
      </c>
      <c r="Q6" s="28" t="str">
        <f t="shared" ca="1" si="3"/>
        <v>l</v>
      </c>
      <c r="R6" s="28" t="str">
        <f t="shared" ca="1" si="3"/>
        <v>m</v>
      </c>
      <c r="S6" s="28" t="str">
        <f t="shared" ca="1" si="3"/>
        <v>m</v>
      </c>
      <c r="T6" s="28" t="str">
        <f t="shared" ca="1" si="3"/>
        <v>j</v>
      </c>
      <c r="U6" s="28" t="str">
        <f t="shared" ca="1" si="3"/>
        <v>v</v>
      </c>
      <c r="V6" s="28" t="str">
        <f t="shared" ca="1" si="3"/>
        <v>s</v>
      </c>
      <c r="W6" s="28" t="str">
        <f t="shared" ca="1" si="3"/>
        <v>d</v>
      </c>
      <c r="X6" s="28" t="str">
        <f t="shared" ca="1" si="3"/>
        <v>l</v>
      </c>
      <c r="Y6" s="28" t="str">
        <f t="shared" ca="1" si="3"/>
        <v>m</v>
      </c>
      <c r="Z6" s="28" t="str">
        <f t="shared" ca="1" si="3"/>
        <v>m</v>
      </c>
      <c r="AA6" s="28" t="str">
        <f t="shared" ca="1" si="3"/>
        <v>j</v>
      </c>
      <c r="AB6" s="28" t="str">
        <f t="shared" ca="1" si="3"/>
        <v>v</v>
      </c>
      <c r="AC6" s="28" t="str">
        <f t="shared" ca="1" si="3"/>
        <v>s</v>
      </c>
      <c r="AD6" s="28" t="str">
        <f t="shared" ca="1" si="3"/>
        <v>d</v>
      </c>
      <c r="AE6" s="28" t="str">
        <f t="shared" ca="1" si="3"/>
        <v>l</v>
      </c>
      <c r="AF6" s="28" t="str">
        <f t="shared" ca="1" si="3"/>
        <v>m</v>
      </c>
      <c r="AG6" s="28" t="str">
        <f t="shared" ca="1" si="3"/>
        <v>m</v>
      </c>
      <c r="AH6" s="28" t="str">
        <f t="shared" ca="1" si="3"/>
        <v>j</v>
      </c>
      <c r="AI6" s="28" t="str">
        <f t="shared" ca="1" si="3"/>
        <v>v</v>
      </c>
      <c r="AJ6" s="28" t="str">
        <f t="shared" ca="1" si="3"/>
        <v>s</v>
      </c>
      <c r="AK6" s="28" t="str">
        <f t="shared" ca="1" si="3"/>
        <v>d</v>
      </c>
      <c r="AL6" s="28" t="str">
        <f t="shared" ca="1" si="3"/>
        <v>l</v>
      </c>
      <c r="AM6" s="28" t="str">
        <f t="shared" ca="1" si="3"/>
        <v>m</v>
      </c>
      <c r="AN6" s="28" t="str">
        <f t="shared" ca="1" si="3"/>
        <v>m</v>
      </c>
      <c r="AO6" s="28" t="str">
        <f t="shared" ca="1" si="3"/>
        <v>j</v>
      </c>
      <c r="AP6" s="28" t="str">
        <f t="shared" ca="1" si="3"/>
        <v>v</v>
      </c>
      <c r="AQ6" s="28" t="str">
        <f t="shared" ca="1" si="3"/>
        <v>s</v>
      </c>
      <c r="AR6" s="28" t="str">
        <f t="shared" ca="1" si="3"/>
        <v>d</v>
      </c>
      <c r="AS6" s="28" t="str">
        <f t="shared" ca="1" si="3"/>
        <v>l</v>
      </c>
      <c r="AT6" s="28" t="str">
        <f t="shared" ca="1" si="3"/>
        <v>m</v>
      </c>
      <c r="AU6" s="28" t="str">
        <f t="shared" ca="1" si="3"/>
        <v>m</v>
      </c>
      <c r="AV6" s="28" t="str">
        <f t="shared" ca="1" si="3"/>
        <v>j</v>
      </c>
      <c r="AW6" s="28" t="str">
        <f t="shared" ca="1" si="3"/>
        <v>v</v>
      </c>
      <c r="AX6" s="28" t="str">
        <f t="shared" ca="1" si="3"/>
        <v>s</v>
      </c>
      <c r="AY6" s="28" t="str">
        <f t="shared" ca="1" si="3"/>
        <v>d</v>
      </c>
      <c r="AZ6" s="28" t="str">
        <f t="shared" ca="1" si="3"/>
        <v>l</v>
      </c>
      <c r="BA6" s="28" t="str">
        <f t="shared" ca="1" si="3"/>
        <v>m</v>
      </c>
      <c r="BB6" s="28" t="str">
        <f t="shared" ca="1" si="3"/>
        <v>m</v>
      </c>
      <c r="BC6" s="28" t="str">
        <f t="shared" ca="1" si="3"/>
        <v>j</v>
      </c>
      <c r="BD6" s="28" t="str">
        <f t="shared" ca="1" si="3"/>
        <v>v</v>
      </c>
      <c r="BE6" s="28" t="str">
        <f t="shared" ca="1" si="3"/>
        <v>s</v>
      </c>
      <c r="BF6" s="28" t="str">
        <f t="shared" ca="1" si="3"/>
        <v>d</v>
      </c>
      <c r="BG6" s="28" t="str">
        <f t="shared" ca="1" si="3"/>
        <v>l</v>
      </c>
      <c r="BH6" s="28" t="str">
        <f t="shared" ca="1" si="3"/>
        <v>m</v>
      </c>
      <c r="BI6" s="28" t="str">
        <f t="shared" ca="1" si="3"/>
        <v>m</v>
      </c>
      <c r="BJ6" s="28" t="str">
        <f t="shared" ca="1" si="3"/>
        <v>j</v>
      </c>
      <c r="BK6" s="28" t="str">
        <f t="shared" ca="1" si="3"/>
        <v>v</v>
      </c>
      <c r="BL6" s="28" t="str">
        <f t="shared" ca="1" si="3"/>
        <v>s</v>
      </c>
      <c r="BM6" s="29" t="str">
        <f t="shared" ca="1" si="3"/>
        <v>d</v>
      </c>
    </row>
    <row r="7" spans="1:65" s="19" customFormat="1" ht="30" hidden="1" customHeight="1" thickBot="1" x14ac:dyDescent="0.35">
      <c r="A7" s="7" t="s">
        <v>11</v>
      </c>
      <c r="B7" s="30"/>
      <c r="C7" s="31"/>
      <c r="D7" s="30"/>
      <c r="E7" s="30"/>
      <c r="F7" s="30"/>
      <c r="G7" s="30"/>
      <c r="I7" s="19" t="str">
        <f>IF(OR(ISBLANK(task_start),ISBLANK(task_end)),"",task_end-task_start+1)</f>
        <v/>
      </c>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row>
    <row r="8" spans="1:65" s="39" customFormat="1" ht="30" customHeight="1" thickBot="1" x14ac:dyDescent="0.35">
      <c r="A8" s="145"/>
      <c r="B8" s="33" t="s">
        <v>12</v>
      </c>
      <c r="C8" s="34"/>
      <c r="D8" s="35"/>
      <c r="E8" s="36"/>
      <c r="F8" s="36"/>
      <c r="G8" s="37"/>
      <c r="H8" s="10"/>
      <c r="I8" s="5" t="str">
        <f t="shared" ref="I8:I33" si="4">IF(OR(ISBLANK(task_start),ISBLANK(task_end)),"",task_end-task_start+1)</f>
        <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row>
    <row r="9" spans="1:65" s="39" customFormat="1" ht="25.5" thickBot="1" x14ac:dyDescent="0.35">
      <c r="A9" s="145"/>
      <c r="B9" s="143" t="s">
        <v>13</v>
      </c>
      <c r="C9" s="40" t="s">
        <v>14</v>
      </c>
      <c r="D9" s="41">
        <v>1</v>
      </c>
      <c r="E9" s="74">
        <v>46118</v>
      </c>
      <c r="F9" s="88">
        <v>2</v>
      </c>
      <c r="G9" s="74">
        <f>E9+F9</f>
        <v>46120</v>
      </c>
      <c r="H9" s="10"/>
      <c r="I9" s="5">
        <f t="shared" si="4"/>
        <v>3</v>
      </c>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row>
    <row r="10" spans="1:65" s="39" customFormat="1" ht="30" customHeight="1" thickBot="1" x14ac:dyDescent="0.35">
      <c r="A10" s="145"/>
      <c r="B10" s="159" t="s">
        <v>31</v>
      </c>
      <c r="C10" s="43" t="s">
        <v>15</v>
      </c>
      <c r="D10" s="44">
        <v>0</v>
      </c>
      <c r="E10" s="75">
        <f>G9</f>
        <v>46120</v>
      </c>
      <c r="F10" s="89">
        <v>6</v>
      </c>
      <c r="G10" s="74">
        <f t="shared" ref="G10" si="5">E10+F10</f>
        <v>46126</v>
      </c>
      <c r="H10" s="10"/>
      <c r="I10" s="5">
        <f t="shared" si="4"/>
        <v>7</v>
      </c>
      <c r="J10" s="42"/>
      <c r="K10" s="42"/>
      <c r="L10" s="42"/>
      <c r="M10" s="42"/>
      <c r="N10" s="42"/>
      <c r="O10" s="42"/>
      <c r="P10" s="42"/>
      <c r="Q10" s="42"/>
      <c r="R10" s="42"/>
      <c r="S10" s="42"/>
      <c r="T10" s="42"/>
      <c r="U10" s="42"/>
      <c r="V10" s="45"/>
      <c r="W10" s="45"/>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row>
    <row r="11" spans="1:65" s="39" customFormat="1" ht="30" customHeight="1" thickBot="1" x14ac:dyDescent="0.35">
      <c r="A11" s="145"/>
      <c r="B11" s="46" t="s">
        <v>16</v>
      </c>
      <c r="C11" s="47"/>
      <c r="D11" s="48"/>
      <c r="E11" s="76"/>
      <c r="F11" s="92"/>
      <c r="G11" s="77"/>
      <c r="H11" s="10"/>
      <c r="I11" s="5" t="str">
        <f t="shared" si="4"/>
        <v/>
      </c>
    </row>
    <row r="12" spans="1:65" s="39" customFormat="1" ht="30" customHeight="1" thickBot="1" x14ac:dyDescent="0.35">
      <c r="A12" s="145"/>
      <c r="B12" s="144" t="s">
        <v>27</v>
      </c>
      <c r="C12" s="49" t="s">
        <v>14</v>
      </c>
      <c r="D12" s="50">
        <v>0</v>
      </c>
      <c r="E12" s="78">
        <v>46140</v>
      </c>
      <c r="F12" s="90">
        <v>14</v>
      </c>
      <c r="G12" s="78">
        <f>E12+F12</f>
        <v>46154</v>
      </c>
      <c r="H12" s="10"/>
      <c r="I12" s="5">
        <f t="shared" si="4"/>
        <v>15</v>
      </c>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row>
    <row r="13" spans="1:65" s="39" customFormat="1" ht="30" customHeight="1" thickBot="1" x14ac:dyDescent="0.35">
      <c r="A13" s="7"/>
      <c r="B13" s="144" t="s">
        <v>17</v>
      </c>
      <c r="C13" s="49" t="s">
        <v>30</v>
      </c>
      <c r="D13" s="50">
        <v>0</v>
      </c>
      <c r="E13" s="78">
        <v>46127</v>
      </c>
      <c r="F13" s="90">
        <v>60</v>
      </c>
      <c r="G13" s="78">
        <f>E13+F13</f>
        <v>46187</v>
      </c>
      <c r="H13" s="10"/>
      <c r="I13" s="5">
        <f t="shared" si="4"/>
        <v>61</v>
      </c>
      <c r="J13" s="42"/>
      <c r="K13" s="42"/>
      <c r="L13" s="42"/>
      <c r="M13" s="42"/>
      <c r="N13" s="42"/>
      <c r="O13" s="42"/>
      <c r="P13" s="42"/>
      <c r="Q13" s="42"/>
      <c r="R13" s="42"/>
      <c r="S13" s="42"/>
      <c r="T13" s="42"/>
      <c r="U13" s="42"/>
      <c r="V13" s="45"/>
      <c r="W13" s="45"/>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row>
    <row r="14" spans="1:65" s="39" customFormat="1" ht="30" customHeight="1" thickBot="1" x14ac:dyDescent="0.35">
      <c r="A14" s="7"/>
      <c r="B14" s="162" t="s">
        <v>35</v>
      </c>
      <c r="C14" s="102" t="s">
        <v>15</v>
      </c>
      <c r="D14" s="103">
        <v>0</v>
      </c>
      <c r="E14" s="104">
        <v>46140</v>
      </c>
      <c r="F14" s="105">
        <v>21</v>
      </c>
      <c r="G14" s="78">
        <f>E14+F14</f>
        <v>46161</v>
      </c>
      <c r="H14" s="10"/>
      <c r="I14" s="5"/>
      <c r="J14" s="54"/>
      <c r="K14" s="54"/>
      <c r="L14" s="54"/>
      <c r="M14" s="54"/>
      <c r="N14" s="54"/>
      <c r="O14" s="54"/>
      <c r="P14" s="54"/>
      <c r="Q14" s="54"/>
      <c r="R14" s="54"/>
      <c r="S14" s="54"/>
      <c r="T14" s="54"/>
      <c r="U14" s="54"/>
      <c r="V14" s="163"/>
      <c r="W14" s="163"/>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row>
    <row r="15" spans="1:65" s="39" customFormat="1" ht="30" customHeight="1" thickBot="1" x14ac:dyDescent="0.35">
      <c r="A15" s="7"/>
      <c r="B15" s="51" t="s">
        <v>38</v>
      </c>
      <c r="C15" s="52"/>
      <c r="D15" s="53"/>
      <c r="E15" s="79"/>
      <c r="F15" s="93"/>
      <c r="G15" s="80"/>
      <c r="H15" s="10"/>
      <c r="I15" s="5" t="str">
        <f t="shared" si="4"/>
        <v/>
      </c>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row>
    <row r="16" spans="1:65" s="39" customFormat="1" ht="30" customHeight="1" thickBot="1" x14ac:dyDescent="0.35">
      <c r="A16" s="7"/>
      <c r="B16" s="55" t="s">
        <v>37</v>
      </c>
      <c r="C16" s="56" t="s">
        <v>15</v>
      </c>
      <c r="D16" s="57">
        <v>0</v>
      </c>
      <c r="E16" s="81">
        <v>46162</v>
      </c>
      <c r="F16" s="91">
        <v>10</v>
      </c>
      <c r="G16" s="81">
        <f>E16+F16</f>
        <v>46172</v>
      </c>
      <c r="H16" s="10"/>
      <c r="I16" s="5"/>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row>
    <row r="17" spans="1:65" s="39" customFormat="1" ht="30" customHeight="1" thickBot="1" x14ac:dyDescent="0.35">
      <c r="A17" s="7"/>
      <c r="B17" s="87" t="s">
        <v>18</v>
      </c>
      <c r="C17" s="84"/>
      <c r="D17" s="85"/>
      <c r="E17" s="86"/>
      <c r="F17" s="94"/>
      <c r="G17" s="86"/>
      <c r="H17" s="10"/>
      <c r="I17" s="5"/>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row>
    <row r="18" spans="1:65" s="39" customFormat="1" ht="30" customHeight="1" thickBot="1" x14ac:dyDescent="0.35">
      <c r="A18" s="7"/>
      <c r="B18" s="111" t="s">
        <v>19</v>
      </c>
      <c r="C18" s="157" t="s">
        <v>14</v>
      </c>
      <c r="D18" s="112">
        <v>0</v>
      </c>
      <c r="E18" s="113">
        <v>46122</v>
      </c>
      <c r="F18" s="114">
        <v>4</v>
      </c>
      <c r="G18" s="113">
        <f>E18+F18</f>
        <v>46126</v>
      </c>
      <c r="H18" s="10"/>
      <c r="I18" s="5"/>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row>
    <row r="19" spans="1:65" s="39" customFormat="1" ht="30" customHeight="1" thickBot="1" x14ac:dyDescent="0.35">
      <c r="A19" s="7"/>
      <c r="B19" s="115" t="s">
        <v>20</v>
      </c>
      <c r="C19" s="158" t="s">
        <v>14</v>
      </c>
      <c r="D19" s="116">
        <v>0</v>
      </c>
      <c r="E19" s="117">
        <v>46126</v>
      </c>
      <c r="F19" s="118">
        <v>3</v>
      </c>
      <c r="G19" s="113">
        <f t="shared" ref="G19:G20" si="6">E19+F19</f>
        <v>46129</v>
      </c>
      <c r="H19" s="10"/>
      <c r="I19" s="5"/>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row>
    <row r="20" spans="1:65" s="39" customFormat="1" ht="41.5" customHeight="1" thickBot="1" x14ac:dyDescent="0.35">
      <c r="A20" s="7"/>
      <c r="B20" s="160" t="s">
        <v>32</v>
      </c>
      <c r="C20" s="146"/>
      <c r="D20" s="147">
        <v>0</v>
      </c>
      <c r="E20" s="148">
        <v>46139</v>
      </c>
      <c r="F20" s="149">
        <v>0</v>
      </c>
      <c r="G20" s="150">
        <f t="shared" si="6"/>
        <v>46139</v>
      </c>
      <c r="H20" s="10"/>
      <c r="I20" s="5"/>
      <c r="J20" s="60"/>
      <c r="K20" s="60"/>
      <c r="L20" s="60"/>
      <c r="M20" s="60"/>
      <c r="N20" s="60"/>
      <c r="O20" s="60"/>
      <c r="P20" s="60"/>
      <c r="Q20" s="60"/>
      <c r="R20" s="60"/>
      <c r="S20" s="60"/>
      <c r="T20" s="60"/>
      <c r="U20" s="60"/>
      <c r="V20" s="60"/>
      <c r="W20" s="60"/>
      <c r="X20" s="60"/>
      <c r="Y20" s="60"/>
      <c r="Z20" s="60"/>
      <c r="AA20" s="60"/>
      <c r="AB20" s="60"/>
      <c r="AC20" s="60"/>
      <c r="AD20" s="60"/>
      <c r="AE20" s="164"/>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row>
    <row r="21" spans="1:65" s="39" customFormat="1" ht="30" customHeight="1" thickBot="1" x14ac:dyDescent="0.35">
      <c r="A21" s="7"/>
      <c r="B21" s="101" t="s">
        <v>21</v>
      </c>
      <c r="C21" s="96"/>
      <c r="D21" s="97"/>
      <c r="E21" s="98"/>
      <c r="F21" s="99"/>
      <c r="G21" s="98"/>
      <c r="H21" s="10"/>
      <c r="I21" s="5"/>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row>
    <row r="22" spans="1:65" s="39" customFormat="1" ht="30" customHeight="1" thickBot="1" x14ac:dyDescent="0.35">
      <c r="A22" s="7"/>
      <c r="B22" s="119" t="s">
        <v>22</v>
      </c>
      <c r="C22" s="120" t="s">
        <v>15</v>
      </c>
      <c r="D22" s="121">
        <v>0</v>
      </c>
      <c r="E22" s="122">
        <v>46174</v>
      </c>
      <c r="F22" s="123">
        <v>2</v>
      </c>
      <c r="G22" s="124">
        <f>F22+E22</f>
        <v>46176</v>
      </c>
      <c r="H22" s="10"/>
      <c r="I22" s="5"/>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row>
    <row r="23" spans="1:65" s="39" customFormat="1" ht="30" customHeight="1" thickBot="1" x14ac:dyDescent="0.35">
      <c r="A23" s="7"/>
      <c r="B23" s="119" t="s">
        <v>34</v>
      </c>
      <c r="C23" s="120" t="s">
        <v>15</v>
      </c>
      <c r="D23" s="121">
        <v>0</v>
      </c>
      <c r="E23" s="122">
        <v>46175</v>
      </c>
      <c r="F23" s="123">
        <v>3</v>
      </c>
      <c r="G23" s="124">
        <f t="shared" ref="G23:G24" si="7">F23+E23</f>
        <v>46178</v>
      </c>
      <c r="H23" s="10"/>
      <c r="I23" s="5"/>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row>
    <row r="24" spans="1:65" s="39" customFormat="1" ht="30" customHeight="1" thickBot="1" x14ac:dyDescent="0.35">
      <c r="A24" s="7"/>
      <c r="B24" s="119" t="s">
        <v>36</v>
      </c>
      <c r="C24" s="120" t="s">
        <v>15</v>
      </c>
      <c r="D24" s="121">
        <v>0</v>
      </c>
      <c r="E24" s="122">
        <v>46178</v>
      </c>
      <c r="F24" s="123">
        <v>3</v>
      </c>
      <c r="G24" s="124">
        <f t="shared" si="7"/>
        <v>46181</v>
      </c>
      <c r="H24" s="10"/>
      <c r="I24" s="5"/>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row>
    <row r="25" spans="1:65" s="39" customFormat="1" ht="30" customHeight="1" thickBot="1" x14ac:dyDescent="0.35">
      <c r="A25" s="7"/>
      <c r="B25" s="106" t="s">
        <v>23</v>
      </c>
      <c r="C25" s="107"/>
      <c r="D25" s="108"/>
      <c r="E25" s="109"/>
      <c r="F25" s="110"/>
      <c r="G25" s="109"/>
      <c r="H25" s="10"/>
      <c r="I25" s="5"/>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row>
    <row r="26" spans="1:65" s="39" customFormat="1" ht="38" customHeight="1" thickBot="1" x14ac:dyDescent="0.35">
      <c r="A26" s="7"/>
      <c r="B26" s="161" t="s">
        <v>33</v>
      </c>
      <c r="C26" s="152"/>
      <c r="D26" s="153"/>
      <c r="E26" s="154">
        <v>46174</v>
      </c>
      <c r="F26" s="155">
        <v>0</v>
      </c>
      <c r="G26" s="156">
        <f>F26+E26</f>
        <v>46174</v>
      </c>
      <c r="H26" s="10"/>
      <c r="I26" s="5"/>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row>
    <row r="27" spans="1:65" s="39" customFormat="1" ht="30" customHeight="1" thickBot="1" x14ac:dyDescent="0.35">
      <c r="A27" s="7"/>
      <c r="B27" s="125" t="s">
        <v>28</v>
      </c>
      <c r="C27" s="126" t="s">
        <v>30</v>
      </c>
      <c r="D27" s="127">
        <v>0</v>
      </c>
      <c r="E27" s="128">
        <v>46185</v>
      </c>
      <c r="F27" s="129">
        <v>15</v>
      </c>
      <c r="G27" s="130">
        <f>E27+F27</f>
        <v>46200</v>
      </c>
      <c r="H27" s="10"/>
      <c r="I27" s="5"/>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row>
    <row r="28" spans="1:65" s="39" customFormat="1" ht="30" customHeight="1" thickBot="1" x14ac:dyDescent="0.35">
      <c r="A28" s="7"/>
      <c r="B28" s="100" t="s">
        <v>24</v>
      </c>
      <c r="C28" s="58"/>
      <c r="D28" s="59"/>
      <c r="E28" s="82"/>
      <c r="F28" s="95"/>
      <c r="G28" s="83"/>
      <c r="H28" s="10"/>
      <c r="I28" s="5" t="str">
        <f t="shared" si="4"/>
        <v/>
      </c>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row>
    <row r="29" spans="1:65" s="39" customFormat="1" ht="30" customHeight="1" thickBot="1" x14ac:dyDescent="0.35">
      <c r="A29" s="7"/>
      <c r="B29" s="131" t="s">
        <v>25</v>
      </c>
      <c r="C29" s="132" t="s">
        <v>15</v>
      </c>
      <c r="D29" s="133">
        <v>0</v>
      </c>
      <c r="E29" s="134">
        <v>46195</v>
      </c>
      <c r="F29" s="135">
        <v>5</v>
      </c>
      <c r="G29" s="136">
        <f>E29+F29</f>
        <v>46200</v>
      </c>
      <c r="H29" s="10"/>
      <c r="I29" s="5">
        <f t="shared" si="4"/>
        <v>6</v>
      </c>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row>
    <row r="30" spans="1:65" s="39" customFormat="1" ht="30" customHeight="1" thickBot="1" x14ac:dyDescent="0.35">
      <c r="A30" s="7"/>
      <c r="B30" s="138" t="s">
        <v>26</v>
      </c>
      <c r="C30" s="139" t="s">
        <v>14</v>
      </c>
      <c r="D30" s="140">
        <v>0</v>
      </c>
      <c r="E30" s="141">
        <v>46195</v>
      </c>
      <c r="F30" s="137">
        <v>5</v>
      </c>
      <c r="G30" s="142">
        <f>E30+F30</f>
        <v>46200</v>
      </c>
      <c r="H30" s="10"/>
      <c r="I30" s="5">
        <f t="shared" si="4"/>
        <v>6</v>
      </c>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row>
    <row r="31" spans="1:65" s="39" customFormat="1" ht="30" customHeight="1" thickBot="1" x14ac:dyDescent="0.35">
      <c r="A31" s="7"/>
      <c r="B31" s="151" t="s">
        <v>29</v>
      </c>
      <c r="C31" s="152"/>
      <c r="D31" s="153"/>
      <c r="E31" s="154">
        <v>46202</v>
      </c>
      <c r="F31" s="155">
        <v>0</v>
      </c>
      <c r="G31" s="156">
        <f>E31+F31</f>
        <v>46202</v>
      </c>
      <c r="H31" s="10"/>
      <c r="I31" s="5">
        <f t="shared" si="4"/>
        <v>1</v>
      </c>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row>
    <row r="32" spans="1:65" s="39" customFormat="1" ht="30" customHeight="1" thickBot="1" x14ac:dyDescent="0.35">
      <c r="A32" s="7"/>
      <c r="B32" s="61"/>
      <c r="C32" s="62"/>
      <c r="D32" s="63"/>
      <c r="E32" s="64"/>
      <c r="F32" s="64"/>
      <c r="G32" s="64"/>
      <c r="H32" s="10"/>
      <c r="I32" s="5" t="str">
        <f t="shared" si="4"/>
        <v/>
      </c>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row>
    <row r="33" spans="1:65" s="39" customFormat="1" ht="30" customHeight="1" thickBot="1" x14ac:dyDescent="0.35">
      <c r="A33" s="145"/>
      <c r="B33" s="65"/>
      <c r="C33" s="66"/>
      <c r="D33" s="67"/>
      <c r="E33" s="68"/>
      <c r="F33" s="68"/>
      <c r="G33" s="69"/>
      <c r="H33" s="10"/>
      <c r="I33" s="6" t="str">
        <f t="shared" si="4"/>
        <v/>
      </c>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row>
    <row r="34" spans="1:65" ht="30" customHeight="1" x14ac:dyDescent="0.3">
      <c r="H34" s="3"/>
    </row>
    <row r="35" spans="1:65" ht="30" customHeight="1" x14ac:dyDescent="0.3">
      <c r="C35" s="9"/>
      <c r="G35" s="8"/>
    </row>
    <row r="36" spans="1:65" ht="30" customHeight="1" x14ac:dyDescent="0.3">
      <c r="C36" s="4"/>
    </row>
  </sheetData>
  <mergeCells count="19">
    <mergeCell ref="J1:P1"/>
    <mergeCell ref="R1:AA1"/>
    <mergeCell ref="J2:P2"/>
    <mergeCell ref="R2:AA2"/>
    <mergeCell ref="J4:P4"/>
    <mergeCell ref="Q4:W4"/>
    <mergeCell ref="X4:AD4"/>
    <mergeCell ref="AZ4:BF4"/>
    <mergeCell ref="BG4:BM4"/>
    <mergeCell ref="A5:A6"/>
    <mergeCell ref="B5:B6"/>
    <mergeCell ref="C5:C6"/>
    <mergeCell ref="D5:D6"/>
    <mergeCell ref="E5:E6"/>
    <mergeCell ref="F5:F6"/>
    <mergeCell ref="G5:G6"/>
    <mergeCell ref="AE4:AK4"/>
    <mergeCell ref="AL4:AR4"/>
    <mergeCell ref="AS4:AY4"/>
  </mergeCells>
  <conditionalFormatting sqref="D7:D33">
    <cfRule type="dataBar" priority="8">
      <dataBar>
        <cfvo type="num" val="0"/>
        <cfvo type="num" val="1"/>
        <color theme="0"/>
      </dataBar>
      <extLst>
        <ext xmlns:x14="http://schemas.microsoft.com/office/spreadsheetml/2009/9/main" uri="{B025F937-C7B1-47D3-B67F-A62EFF666E3E}">
          <x14:id>{6E2D1C85-F5E9-42EC-85F2-12DBE34C64CC}</x14:id>
        </ext>
      </extLst>
    </cfRule>
  </conditionalFormatting>
  <conditionalFormatting sqref="J4:BM31">
    <cfRule type="expression" dxfId="8" priority="1">
      <formula>AND(TODAY()&gt;=J$5, TODAY()&lt;K$5)</formula>
    </cfRule>
  </conditionalFormatting>
  <conditionalFormatting sqref="J9:BM10">
    <cfRule type="expression" dxfId="7" priority="6">
      <formula>AND(task_start&lt;=J$5,ROUNDDOWN((task_end-task_start+1)*task_progress,0)+task_start-1&gt;=J$5)</formula>
    </cfRule>
    <cfRule type="expression" dxfId="6" priority="7" stopIfTrue="1">
      <formula>AND(task_end&gt;=J$5,task_start&lt;K$5)</formula>
    </cfRule>
  </conditionalFormatting>
  <conditionalFormatting sqref="J12:BM14">
    <cfRule type="expression" dxfId="5" priority="4">
      <formula>AND(task_start&lt;=J$5,ROUNDDOWN((task_end-task_start+1)*task_progress,0)+task_start-1&gt;=J$5)</formula>
    </cfRule>
    <cfRule type="expression" dxfId="4" priority="5" stopIfTrue="1">
      <formula>AND(task_end&gt;=J$5,task_start&lt;K$5)</formula>
    </cfRule>
  </conditionalFormatting>
  <conditionalFormatting sqref="J16:BM27">
    <cfRule type="expression" dxfId="3" priority="2">
      <formula>AND(task_start&lt;=J$5,ROUNDDOWN((task_end-task_start+1)*task_progress,0)+task_start-1&gt;=J$5)</formula>
    </cfRule>
    <cfRule type="expression" dxfId="2" priority="3" stopIfTrue="1">
      <formula>AND(task_end&gt;=J$5,task_start&lt;K$5)</formula>
    </cfRule>
  </conditionalFormatting>
  <conditionalFormatting sqref="J29:BM31">
    <cfRule type="expression" dxfId="1" priority="9">
      <formula>AND(task_start&lt;=J$5,ROUNDDOWN((task_end-task_start+1)*task_progress,0)+task_start-1&gt;=J$5)</formula>
    </cfRule>
    <cfRule type="expression" dxfId="0" priority="10" stopIfTrue="1">
      <formula>AND(task_end&gt;=J$5,task_start&lt;K$5)</formula>
    </cfRule>
  </conditionalFormatting>
  <dataValidations count="13">
    <dataValidation type="whole" operator="greaterThanOrEqual" allowBlank="1" showInputMessage="1" promptTitle="Display Week" prompt="Changing this number will scroll the Gantt Chart view." sqref="R2" xr:uid="{5055D4DC-4AC9-4908-8988-4E07AB8DE9B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2CB1FADC-D2A0-4258-A51A-43BE8B5E037E}"/>
    <dataValidation allowBlank="1" showInputMessage="1" showErrorMessage="1" prompt="Enter Company name in cel B2." sqref="A2" xr:uid="{F7225563-98A1-4226-8630-710E9D9D51C4}"/>
    <dataValidation allowBlank="1" showInputMessage="1" showErrorMessage="1" prompt="Enter the name of the Project Lead in cell C3. Enter the Project Start date in cell Q1. Project Start: label is in cell I1." sqref="A3" xr:uid="{17BAB1A7-9B8B-497B-B827-7AD7E708344A}"/>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1235C77C-E1BD-48C6-A16B-D6491B3B00EE}"/>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35D1EDA6-4F7F-482F-88C3-85640BF3015D}"/>
    <dataValidation allowBlank="1" showInputMessage="1" showErrorMessage="1" prompt="Cell B8 contains the Phase 1 sample title. Enter a new title in cell B8._x000a_To delete the phase and work only from tasks, simply delete this row." sqref="A8" xr:uid="{E07D0581-007D-48C5-AD98-E55161D4CB22}"/>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A450D2DA-A87F-4C4F-A842-F68CE7E3A38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5B5D806A-BF56-4D54-9FE1-FB06447281C2}"/>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C5CC9D2-4451-46C8-8262-B1ADD0D5015B}"/>
    <dataValidation allowBlank="1" showInputMessage="1" showErrorMessage="1" prompt="Phase 3's sample block starts in cell B20." sqref="A15" xr:uid="{6CEE48D7-2F51-41CD-AF53-E702950D3848}"/>
    <dataValidation allowBlank="1" showInputMessage="1" showErrorMessage="1" prompt="Phase 4's sample block starts in cell B26." sqref="A28" xr:uid="{8FB968E9-B06F-4EDE-996F-B2B21D1DA5FD}"/>
    <dataValidation allowBlank="1" showInputMessage="1" showErrorMessage="1" prompt="This row marks the end of the Project Schedule. DO NOT enter anything in this row. _x000a_Insert new rows ABOVE this one to continue building out your Project Schedule." sqref="A33" xr:uid="{CE116FCE-9761-4DFA-AD37-CF602D6CBA3D}"/>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6E2D1C85-F5E9-42EC-85F2-12DBE34C64CC}">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Diagrama de Gantt</vt:lpstr>
      <vt:lpstr>'Diagrama de Gantt'!Display_Week</vt:lpstr>
      <vt:lpstr>'Diagrama de Gantt'!Project_Start</vt:lpstr>
      <vt:lpstr>'Diagrama de Gantt'!task_end</vt:lpstr>
      <vt:lpstr>'Diagrama de Gantt'!task_progress</vt:lpstr>
      <vt:lpstr>'Diagrama de Gantt'!task_start</vt:lpstr>
      <vt:lpstr>'Diagrama de Gantt'!Títulos_a_imprimir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Agustín Espínola</dc:creator>
  <cp:keywords/>
  <dc:description/>
  <cp:lastModifiedBy>Agustín Espínola</cp:lastModifiedBy>
  <cp:revision/>
  <dcterms:created xsi:type="dcterms:W3CDTF">2022-03-11T22:41:12Z</dcterms:created>
  <dcterms:modified xsi:type="dcterms:W3CDTF">2026-04-10T01:22:37Z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